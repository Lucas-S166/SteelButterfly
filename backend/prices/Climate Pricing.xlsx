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a" sheetId="1" r:id="rId4"/>
    <sheet state="visible" name="India" sheetId="2" r:id="rId5"/>
    <sheet state="visible" name="US" sheetId="3" r:id="rId6"/>
  </sheets>
  <definedNames/>
  <calcPr/>
</workbook>
</file>

<file path=xl/sharedStrings.xml><?xml version="1.0" encoding="utf-8"?>
<sst xmlns="http://schemas.openxmlformats.org/spreadsheetml/2006/main" count="37" uniqueCount="37">
  <si>
    <t xml:space="preserve">China </t>
  </si>
  <si>
    <t xml:space="preserve">India </t>
  </si>
  <si>
    <t xml:space="preserve">United States </t>
  </si>
  <si>
    <t>Metric</t>
  </si>
  <si>
    <t>China (Average)</t>
  </si>
  <si>
    <t>Baosteel 600019.SS</t>
  </si>
  <si>
    <t>Nanjing Steel 600282.SS</t>
  </si>
  <si>
    <t>Magang 600808.SS</t>
  </si>
  <si>
    <t>Angang 000959.SZ</t>
  </si>
  <si>
    <t>Shandong / Laiwu 000898.SZ</t>
  </si>
  <si>
    <t>Benxi Steel 000761.SZ</t>
  </si>
  <si>
    <t>Tangshan Steel 000709.SZ</t>
  </si>
  <si>
    <t>India (Average)</t>
  </si>
  <si>
    <t>SARDAEN.NS (Sarda Energy &amp; Minerals)</t>
  </si>
  <si>
    <t>SAIL.NS (Steel Authority of India)</t>
  </si>
  <si>
    <t>PRAKASH.NS (Prakash Industries)</t>
  </si>
  <si>
    <t>NSLNISP.NS (NMDC Steel Ltd)</t>
  </si>
  <si>
    <t>JSWSTEEL.NS (JSW Steel)</t>
  </si>
  <si>
    <t>JINDALSTEL.NS (Jindal Steel &amp; Power)</t>
  </si>
  <si>
    <t>GPIL.NS (Godawari Power &amp; Ispat)</t>
  </si>
  <si>
    <t>US (Average)</t>
  </si>
  <si>
    <t>NUENucor</t>
  </si>
  <si>
    <t>STLDSteel Dynamics</t>
  </si>
  <si>
    <t>CMCCommercial Metals</t>
  </si>
  <si>
    <t>FRDFriedman Industries</t>
  </si>
  <si>
    <t>CLFCleveland-Cliffs</t>
  </si>
  <si>
    <t>XU.S. Steel</t>
  </si>
  <si>
    <t>MTArcelorMittal</t>
  </si>
  <si>
    <t>M_CO2</t>
  </si>
  <si>
    <t>T_CO2</t>
  </si>
  <si>
    <t>W</t>
  </si>
  <si>
    <t>M_SO2</t>
  </si>
  <si>
    <t>D_PM</t>
  </si>
  <si>
    <t>E_SO2</t>
  </si>
  <si>
    <t>S</t>
  </si>
  <si>
    <t xml:space="preserve">Discount </t>
  </si>
  <si>
    <t>SC_CO_2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</si>
</sst>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"/>
  </numFmts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color rgb="FF000000"/>
      <name val="Arial"/>
      <scheme val="minor"/>
    </font>
    <font>
      <color rgb="FF000000"/>
      <name val="Helvetica Neue"/>
    </font>
    <font>
      <sz val="11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3" numFmtId="164" xfId="0" applyAlignment="1" applyFont="1" applyNumberFormat="1">
      <alignment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horizontal="left" readingOrder="0" shrinkToFit="0" wrapText="1"/>
    </xf>
    <xf borderId="0" fillId="0" fontId="5" numFmtId="164" xfId="0" applyAlignment="1" applyFont="1" applyNumberFormat="1">
      <alignment horizontal="left" readingOrder="0" shrinkToFit="0" wrapText="1"/>
    </xf>
    <xf borderId="0" fillId="0" fontId="5" numFmtId="164" xfId="0" applyAlignment="1" applyFont="1" applyNumberFormat="1">
      <alignment horizontal="center"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horizontal="left" shrinkToFit="0" vertical="top" wrapText="1"/>
    </xf>
    <xf borderId="0" fillId="0" fontId="3" numFmtId="164" xfId="0" applyAlignment="1" applyFont="1" applyNumberFormat="1">
      <alignment horizontal="left" readingOrder="0" shrinkToFit="0" vertical="top" wrapText="1"/>
    </xf>
    <xf borderId="0" fillId="0" fontId="5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2" fontId="8" numFmtId="0" xfId="0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Chin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2:D2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Chin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 t="s">
        <v>0</v>
      </c>
      <c r="J1" s="2"/>
      <c r="K1" s="2" t="s">
        <v>1</v>
      </c>
      <c r="R1" s="3"/>
      <c r="S1" s="4" t="s">
        <v>2</v>
      </c>
      <c r="Z1" s="3"/>
    </row>
    <row r="2">
      <c r="A2" s="1" t="s">
        <v>3</v>
      </c>
      <c r="B2" s="4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4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3"/>
    </row>
    <row r="3">
      <c r="A3" s="5" t="s">
        <v>28</v>
      </c>
      <c r="B3" s="3">
        <f t="shared" ref="B3:B6" si="1"> AVERAGE(C3:I3)</f>
        <v>2.2</v>
      </c>
      <c r="C3" s="6">
        <v>2.05</v>
      </c>
      <c r="D3" s="6">
        <v>2.15</v>
      </c>
      <c r="E3" s="6">
        <v>2.2</v>
      </c>
      <c r="F3" s="6">
        <v>2.2</v>
      </c>
      <c r="G3" s="6">
        <v>2.3</v>
      </c>
      <c r="H3" s="6">
        <v>2.2</v>
      </c>
      <c r="I3" s="6">
        <v>2.3</v>
      </c>
      <c r="J3" s="5">
        <f t="shared" ref="J3:J6" si="2"> AVERAGE(K3:Q3)</f>
        <v>1.907142857</v>
      </c>
      <c r="K3" s="6">
        <v>1.4</v>
      </c>
      <c r="L3" s="6">
        <v>2.4</v>
      </c>
      <c r="M3" s="6">
        <v>1.8</v>
      </c>
      <c r="N3" s="6">
        <v>2.25</v>
      </c>
      <c r="O3" s="6">
        <v>2.15</v>
      </c>
      <c r="P3" s="6">
        <v>2.0</v>
      </c>
      <c r="Q3" s="6">
        <v>1.35</v>
      </c>
      <c r="R3" s="3">
        <f t="shared" ref="R3:R6" si="4"> AVERAGE(S3:Y3)</f>
        <v>1.114285714</v>
      </c>
      <c r="S3" s="7">
        <v>0.5</v>
      </c>
      <c r="T3" s="7">
        <v>0.55</v>
      </c>
      <c r="U3" s="7">
        <v>0.5</v>
      </c>
      <c r="V3" s="7">
        <v>0.6</v>
      </c>
      <c r="W3" s="7">
        <v>1.7</v>
      </c>
      <c r="X3" s="7">
        <v>2.0</v>
      </c>
      <c r="Y3" s="7">
        <v>1.95</v>
      </c>
      <c r="Z3" s="3"/>
    </row>
    <row r="4">
      <c r="A4" s="5" t="s">
        <v>29</v>
      </c>
      <c r="B4" s="3">
        <f t="shared" si="1"/>
        <v>0.1802829587</v>
      </c>
      <c r="C4" s="3">
        <v>0.0989872461</v>
      </c>
      <c r="D4" s="3">
        <v>0.0989872461</v>
      </c>
      <c r="E4" s="3">
        <v>0.0989872461</v>
      </c>
      <c r="F4" s="8">
        <v>0.24125474319999998</v>
      </c>
      <c r="G4" s="8">
        <v>0.24125474319999998</v>
      </c>
      <c r="H4" s="8">
        <v>0.24125474319999998</v>
      </c>
      <c r="I4" s="8">
        <v>0.24125474319999998</v>
      </c>
      <c r="J4" s="5">
        <f t="shared" si="2"/>
        <v>0.00003097666714</v>
      </c>
      <c r="K4" s="9">
        <f t="shared" ref="K4:Q4" si="3"> 0.0000087083 *K5</f>
        <v>0.00002177075</v>
      </c>
      <c r="L4" s="9">
        <f t="shared" si="3"/>
        <v>0.00003918735</v>
      </c>
      <c r="M4" s="9">
        <f t="shared" si="3"/>
        <v>0.00003047905</v>
      </c>
      <c r="N4" s="10">
        <f t="shared" si="3"/>
        <v>0.00003831652</v>
      </c>
      <c r="O4" s="10">
        <f t="shared" si="3"/>
        <v>0.0000348332</v>
      </c>
      <c r="P4" s="10">
        <f t="shared" si="3"/>
        <v>0.00003047905</v>
      </c>
      <c r="Q4" s="10">
        <f t="shared" si="3"/>
        <v>0.00002177075</v>
      </c>
      <c r="R4" s="3">
        <f t="shared" si="4"/>
        <v>0.0001842434657</v>
      </c>
      <c r="S4" s="7">
        <f>S3*0.0001653467</f>
        <v>0.00008267335</v>
      </c>
      <c r="T4" s="7">
        <f t="shared" ref="T4:Y4" si="5"> T3*0.0001653467</f>
        <v>0.000090940685</v>
      </c>
      <c r="U4" s="7">
        <f t="shared" si="5"/>
        <v>0.00008267335</v>
      </c>
      <c r="V4" s="7">
        <f t="shared" si="5"/>
        <v>0.00009920802</v>
      </c>
      <c r="W4" s="7">
        <f t="shared" si="5"/>
        <v>0.00028108939</v>
      </c>
      <c r="X4" s="7">
        <f t="shared" si="5"/>
        <v>0.0003306934</v>
      </c>
      <c r="Y4" s="7">
        <f t="shared" si="5"/>
        <v>0.000322426065</v>
      </c>
      <c r="Z4" s="3"/>
    </row>
    <row r="5">
      <c r="A5" s="5" t="s">
        <v>30</v>
      </c>
      <c r="B5" s="3">
        <f t="shared" si="1"/>
        <v>4.257142857</v>
      </c>
      <c r="C5" s="6">
        <v>3.5</v>
      </c>
      <c r="D5" s="6">
        <v>4.3</v>
      </c>
      <c r="E5" s="6">
        <v>4.3</v>
      </c>
      <c r="F5" s="6">
        <v>4.3</v>
      </c>
      <c r="G5" s="6">
        <v>4.4</v>
      </c>
      <c r="H5" s="6">
        <v>4.3</v>
      </c>
      <c r="I5" s="6">
        <v>4.7</v>
      </c>
      <c r="J5" s="5">
        <f t="shared" si="2"/>
        <v>3.557142857</v>
      </c>
      <c r="K5" s="6">
        <v>2.5</v>
      </c>
      <c r="L5" s="6">
        <v>4.5</v>
      </c>
      <c r="M5" s="6">
        <v>3.5</v>
      </c>
      <c r="N5" s="6">
        <v>4.4</v>
      </c>
      <c r="O5" s="6">
        <v>4.0</v>
      </c>
      <c r="P5" s="6">
        <v>3.5</v>
      </c>
      <c r="Q5" s="6">
        <v>2.5</v>
      </c>
      <c r="R5" s="3">
        <f t="shared" si="4"/>
        <v>2.164285714</v>
      </c>
      <c r="S5" s="11">
        <v>0.95</v>
      </c>
      <c r="T5" s="11">
        <v>0.95</v>
      </c>
      <c r="U5" s="11">
        <v>1.0</v>
      </c>
      <c r="V5" s="11">
        <v>1.25</v>
      </c>
      <c r="W5" s="11">
        <v>3.5</v>
      </c>
      <c r="X5" s="11">
        <v>4.0</v>
      </c>
      <c r="Y5" s="11">
        <v>3.5</v>
      </c>
      <c r="Z5" s="3"/>
    </row>
    <row r="6">
      <c r="A6" s="5" t="s">
        <v>31</v>
      </c>
      <c r="B6" s="3">
        <f t="shared" si="1"/>
        <v>1.271428571</v>
      </c>
      <c r="C6" s="6">
        <v>1.1</v>
      </c>
      <c r="D6" s="6">
        <v>1.2</v>
      </c>
      <c r="E6" s="6">
        <v>1.3</v>
      </c>
      <c r="F6" s="6">
        <v>1.2</v>
      </c>
      <c r="G6" s="6">
        <v>1.4</v>
      </c>
      <c r="H6" s="6">
        <v>1.3</v>
      </c>
      <c r="I6" s="6">
        <v>1.4</v>
      </c>
      <c r="J6" s="5">
        <f t="shared" si="2"/>
        <v>1.007142857</v>
      </c>
      <c r="K6" s="6">
        <v>0.75</v>
      </c>
      <c r="L6" s="6">
        <v>1.4</v>
      </c>
      <c r="M6" s="6">
        <v>0.85</v>
      </c>
      <c r="N6" s="6">
        <v>1.25</v>
      </c>
      <c r="O6" s="6">
        <v>1.15</v>
      </c>
      <c r="P6" s="6">
        <v>1.0</v>
      </c>
      <c r="Q6" s="6">
        <v>0.65</v>
      </c>
      <c r="R6" s="3">
        <f t="shared" si="4"/>
        <v>0.5142857143</v>
      </c>
      <c r="S6" s="11">
        <v>0.2</v>
      </c>
      <c r="T6" s="11">
        <v>0.2</v>
      </c>
      <c r="U6" s="11">
        <v>0.2</v>
      </c>
      <c r="V6" s="11">
        <v>0.3</v>
      </c>
      <c r="W6" s="11">
        <v>0.85</v>
      </c>
      <c r="X6" s="11">
        <v>1.0</v>
      </c>
      <c r="Y6" s="11">
        <v>0.85</v>
      </c>
      <c r="Z6" s="3"/>
    </row>
    <row r="7">
      <c r="A7" s="12" t="s">
        <v>32</v>
      </c>
      <c r="B7" s="13">
        <f t="shared" ref="B7:I7" si="6"> 10^9* 931.706</f>
        <v>931706000000</v>
      </c>
      <c r="C7" s="13">
        <f t="shared" si="6"/>
        <v>931706000000</v>
      </c>
      <c r="D7" s="13">
        <f t="shared" si="6"/>
        <v>931706000000</v>
      </c>
      <c r="E7" s="13">
        <f t="shared" si="6"/>
        <v>931706000000</v>
      </c>
      <c r="F7" s="13">
        <f t="shared" si="6"/>
        <v>931706000000</v>
      </c>
      <c r="G7" s="13">
        <f t="shared" si="6"/>
        <v>931706000000</v>
      </c>
      <c r="H7" s="13">
        <f t="shared" si="6"/>
        <v>931706000000</v>
      </c>
      <c r="I7" s="13">
        <f t="shared" si="6"/>
        <v>931706000000</v>
      </c>
      <c r="J7" s="13">
        <f t="shared" ref="J7:Q7" si="7"> 10^9 * 175.072</f>
        <v>175072000000</v>
      </c>
      <c r="K7" s="13">
        <f t="shared" si="7"/>
        <v>175072000000</v>
      </c>
      <c r="L7" s="13">
        <f t="shared" si="7"/>
        <v>175072000000</v>
      </c>
      <c r="M7" s="13">
        <f t="shared" si="7"/>
        <v>175072000000</v>
      </c>
      <c r="N7" s="13">
        <f t="shared" si="7"/>
        <v>175072000000</v>
      </c>
      <c r="O7" s="13">
        <f t="shared" si="7"/>
        <v>175072000000</v>
      </c>
      <c r="P7" s="13">
        <f t="shared" si="7"/>
        <v>175072000000</v>
      </c>
      <c r="Q7" s="13">
        <f t="shared" si="7"/>
        <v>175072000000</v>
      </c>
      <c r="R7" s="14">
        <f t="shared" ref="R7:Y7" si="8"> 946.178 *10^9</f>
        <v>946178000000</v>
      </c>
      <c r="S7" s="14">
        <f t="shared" si="8"/>
        <v>946178000000</v>
      </c>
      <c r="T7" s="14">
        <f t="shared" si="8"/>
        <v>946178000000</v>
      </c>
      <c r="U7" s="14">
        <f t="shared" si="8"/>
        <v>946178000000</v>
      </c>
      <c r="V7" s="14">
        <f t="shared" si="8"/>
        <v>946178000000</v>
      </c>
      <c r="W7" s="14">
        <f t="shared" si="8"/>
        <v>946178000000</v>
      </c>
      <c r="X7" s="14">
        <f t="shared" si="8"/>
        <v>946178000000</v>
      </c>
      <c r="Y7" s="14">
        <f t="shared" si="8"/>
        <v>946178000000</v>
      </c>
      <c r="Z7" s="3"/>
    </row>
    <row r="8">
      <c r="A8" s="12" t="s">
        <v>33</v>
      </c>
      <c r="B8" s="15">
        <v>1.0E7</v>
      </c>
      <c r="C8" s="15">
        <v>1.0E7</v>
      </c>
      <c r="D8" s="15">
        <v>1.0E7</v>
      </c>
      <c r="E8" s="15">
        <v>1.0E7</v>
      </c>
      <c r="F8" s="15">
        <v>1.0E7</v>
      </c>
      <c r="G8" s="15">
        <v>1.0E7</v>
      </c>
      <c r="H8" s="15">
        <v>1.0E7</v>
      </c>
      <c r="I8" s="15">
        <v>1.0E7</v>
      </c>
      <c r="J8" s="15">
        <v>1.11E7</v>
      </c>
      <c r="K8" s="15">
        <v>1.11E7</v>
      </c>
      <c r="L8" s="15">
        <v>1.11E7</v>
      </c>
      <c r="M8" s="15">
        <v>1.11E7</v>
      </c>
      <c r="N8" s="15">
        <v>1.11E7</v>
      </c>
      <c r="O8" s="15">
        <v>1.11E7</v>
      </c>
      <c r="P8" s="15">
        <v>1.11E7</v>
      </c>
      <c r="Q8" s="15">
        <v>1.11E7</v>
      </c>
      <c r="R8" s="15">
        <v>1880000.0</v>
      </c>
      <c r="S8" s="15">
        <v>1880000.0</v>
      </c>
      <c r="T8" s="15">
        <v>1880000.0</v>
      </c>
      <c r="U8" s="15">
        <v>1880000.0</v>
      </c>
      <c r="V8" s="15">
        <v>1880000.0</v>
      </c>
      <c r="W8" s="15">
        <v>1880000.0</v>
      </c>
      <c r="X8" s="15">
        <v>1880000.0</v>
      </c>
      <c r="Y8" s="15">
        <v>1880000.0</v>
      </c>
      <c r="Z8" s="3"/>
    </row>
    <row r="9">
      <c r="A9" s="12" t="s">
        <v>34</v>
      </c>
      <c r="B9" s="16">
        <v>0.4152</v>
      </c>
      <c r="C9" s="16">
        <v>0.4152</v>
      </c>
      <c r="D9" s="16">
        <v>0.4152</v>
      </c>
      <c r="E9" s="16">
        <v>0.4152</v>
      </c>
      <c r="F9" s="16">
        <v>0.4152</v>
      </c>
      <c r="G9" s="16">
        <v>0.4152</v>
      </c>
      <c r="H9" s="16">
        <v>0.4152</v>
      </c>
      <c r="I9" s="16">
        <v>0.4152</v>
      </c>
      <c r="J9" s="16">
        <v>0.6649</v>
      </c>
      <c r="K9" s="16">
        <v>0.6649</v>
      </c>
      <c r="L9" s="16">
        <v>0.6649</v>
      </c>
      <c r="M9" s="16">
        <v>0.6649</v>
      </c>
      <c r="N9" s="16">
        <v>0.6649</v>
      </c>
      <c r="O9" s="16">
        <v>0.6649</v>
      </c>
      <c r="P9" s="16">
        <v>0.6649</v>
      </c>
      <c r="Q9" s="16">
        <v>0.6649</v>
      </c>
      <c r="R9" s="16">
        <v>0.2816</v>
      </c>
      <c r="S9" s="16">
        <v>0.2816</v>
      </c>
      <c r="T9" s="16">
        <v>0.2816</v>
      </c>
      <c r="U9" s="16">
        <v>0.2816</v>
      </c>
      <c r="V9" s="16">
        <v>0.2816</v>
      </c>
      <c r="W9" s="16">
        <v>0.2816</v>
      </c>
      <c r="X9" s="16">
        <v>0.2816</v>
      </c>
      <c r="Y9" s="16">
        <v>0.2816</v>
      </c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5"/>
      <c r="K10" s="6"/>
      <c r="L10" s="6"/>
      <c r="M10" s="6"/>
      <c r="N10" s="6"/>
      <c r="O10" s="6"/>
      <c r="P10" s="6"/>
      <c r="Q10" s="6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  <c r="K11" s="6"/>
      <c r="L11" s="6"/>
      <c r="M11" s="6"/>
      <c r="N11" s="6"/>
      <c r="O11" s="6"/>
      <c r="P11" s="6"/>
      <c r="Q11" s="6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/>
      <c r="B21" s="12"/>
      <c r="C21" s="12"/>
      <c r="D21" s="1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7"/>
      <c r="B22" s="14"/>
      <c r="C22" s="1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7"/>
      <c r="B23" s="13"/>
      <c r="C23" s="1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/>
      <c r="B24" s="13"/>
      <c r="C24" s="1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3">
    <mergeCell ref="C1:I1"/>
    <mergeCell ref="K1:Q1"/>
    <mergeCell ref="S1:Y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75"/>
  </cols>
  <sheetData>
    <row r="1">
      <c r="A1" s="18"/>
      <c r="B1" s="18"/>
      <c r="C1" s="18"/>
      <c r="D1" s="18"/>
      <c r="E1" s="18"/>
      <c r="F1" s="18"/>
      <c r="G1" s="18"/>
      <c r="H1" s="18"/>
    </row>
    <row r="2">
      <c r="A2" s="17"/>
      <c r="B2" s="19"/>
      <c r="C2" s="19"/>
      <c r="D2" s="19"/>
      <c r="E2" s="19"/>
      <c r="F2" s="19"/>
      <c r="G2" s="19"/>
      <c r="H2" s="19"/>
    </row>
    <row r="3">
      <c r="A3" s="17" t="s">
        <v>35</v>
      </c>
      <c r="B3" s="19" t="s">
        <v>36</v>
      </c>
      <c r="C3" s="19"/>
      <c r="D3" s="19"/>
      <c r="E3" s="19"/>
      <c r="F3" s="19"/>
      <c r="G3" s="19"/>
      <c r="H3" s="19"/>
    </row>
    <row r="4">
      <c r="A4" s="17">
        <v>1.5</v>
      </c>
      <c r="B4" s="19">
        <v>308.0</v>
      </c>
      <c r="C4" s="19"/>
      <c r="D4" s="19"/>
      <c r="E4" s="19"/>
      <c r="F4" s="19"/>
      <c r="G4" s="19"/>
      <c r="H4" s="19"/>
    </row>
    <row r="5">
      <c r="A5" s="17">
        <v>2.0</v>
      </c>
      <c r="B5" s="20">
        <v>185.0</v>
      </c>
      <c r="C5" s="21"/>
      <c r="D5" s="21"/>
      <c r="E5" s="20"/>
      <c r="F5" s="20"/>
      <c r="G5" s="20"/>
      <c r="H5" s="20"/>
    </row>
    <row r="6">
      <c r="A6" s="17">
        <v>2.5</v>
      </c>
      <c r="B6" s="19">
        <v>118.0</v>
      </c>
      <c r="C6" s="19"/>
      <c r="D6" s="19"/>
      <c r="E6" s="19"/>
      <c r="F6" s="19"/>
      <c r="G6" s="19"/>
      <c r="H6" s="19"/>
    </row>
    <row r="7">
      <c r="A7" s="17">
        <v>3.0</v>
      </c>
      <c r="B7" s="19">
        <v>80.0</v>
      </c>
      <c r="C7" s="19"/>
      <c r="D7" s="19"/>
      <c r="E7" s="19"/>
      <c r="F7" s="19"/>
      <c r="G7" s="19"/>
      <c r="H7" s="19"/>
    </row>
    <row r="8">
      <c r="A8" s="17"/>
      <c r="B8" s="19"/>
      <c r="C8" s="19"/>
      <c r="D8" s="19"/>
      <c r="E8" s="19"/>
      <c r="F8" s="19"/>
      <c r="G8" s="19"/>
      <c r="H8" s="19"/>
    </row>
    <row r="9">
      <c r="A9" s="17"/>
      <c r="B9" s="19"/>
      <c r="C9" s="19"/>
      <c r="D9" s="19"/>
      <c r="E9" s="19"/>
      <c r="F9" s="19"/>
      <c r="G9" s="19"/>
      <c r="H9" s="19"/>
    </row>
    <row r="10">
      <c r="A10" s="17"/>
      <c r="B10" s="19"/>
      <c r="C10" s="19"/>
      <c r="D10" s="19"/>
      <c r="E10" s="19"/>
      <c r="F10" s="22"/>
      <c r="G10" s="19"/>
      <c r="H1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12"/>
      <c r="F1" s="12"/>
      <c r="G1" s="12"/>
      <c r="H1" s="12"/>
    </row>
    <row r="2">
      <c r="E2" s="11"/>
      <c r="F2" s="11"/>
      <c r="G2" s="11"/>
      <c r="H2" s="11"/>
    </row>
    <row r="3">
      <c r="E3" s="11"/>
      <c r="F3" s="11"/>
      <c r="G3" s="11"/>
      <c r="H3" s="11"/>
    </row>
    <row r="4">
      <c r="E4" s="11"/>
      <c r="F4" s="11"/>
      <c r="G4" s="11"/>
      <c r="H4" s="11"/>
    </row>
    <row r="5">
      <c r="A5" s="12"/>
      <c r="B5" s="11"/>
      <c r="C5" s="11"/>
      <c r="D5" s="11"/>
      <c r="E5" s="11"/>
      <c r="F5" s="11"/>
      <c r="G5" s="11"/>
      <c r="H5" s="11"/>
    </row>
    <row r="6">
      <c r="A6" s="12"/>
      <c r="B6" s="11"/>
      <c r="C6" s="11"/>
      <c r="D6" s="11"/>
      <c r="E6" s="11"/>
      <c r="F6" s="11"/>
      <c r="G6" s="11"/>
      <c r="H6" s="11"/>
    </row>
    <row r="7">
      <c r="A7" s="12"/>
      <c r="B7" s="11"/>
      <c r="C7" s="11"/>
      <c r="D7" s="11"/>
      <c r="E7" s="11"/>
      <c r="F7" s="11"/>
      <c r="G7" s="11"/>
      <c r="H7" s="11"/>
    </row>
    <row r="8">
      <c r="A8" s="12"/>
      <c r="B8" s="11"/>
      <c r="C8" s="11"/>
      <c r="D8" s="11"/>
      <c r="E8" s="11"/>
      <c r="F8" s="11"/>
      <c r="G8" s="11"/>
      <c r="H8" s="11"/>
    </row>
    <row r="9">
      <c r="A9" s="12"/>
      <c r="B9" s="11"/>
      <c r="C9" s="11"/>
      <c r="D9" s="11"/>
      <c r="E9" s="11"/>
      <c r="F9" s="11"/>
      <c r="G9" s="11"/>
      <c r="H9" s="11"/>
    </row>
  </sheetData>
  <drawing r:id="rId1"/>
</worksheet>
</file>